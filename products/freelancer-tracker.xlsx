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🧾 Invoices" sheetId="2" state="visible" r:id="rId2"/>
    <sheet name="💸 Expenses" sheetId="3" state="visible" r:id="rId3"/>
    <sheet name="🧮 Tax Estimator" sheetId="4" state="visible" r:id="rId4"/>
    <sheet name="👥 Cl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9">
    <font>
      <name val="Calibri"/>
      <family val="2"/>
      <color theme="1"/>
      <sz val="11"/>
      <scheme val="minor"/>
    </font>
    <font>
      <name val="Calibri"/>
      <b val="1"/>
      <color rgb="00A78BFA"/>
      <sz val="16"/>
    </font>
    <font>
      <name val="Calibri"/>
      <b val="1"/>
      <color rgb="008B8A9B"/>
      <sz val="8"/>
    </font>
    <font>
      <name val="Calibri"/>
      <b val="1"/>
      <color rgb="0006B6D4"/>
      <sz val="16"/>
    </font>
    <font>
      <name val="Calibri"/>
      <b val="1"/>
      <color rgb="0010B981"/>
      <sz val="16"/>
    </font>
    <font>
      <name val="Calibri"/>
      <b val="1"/>
      <color rgb="00F59E0B"/>
      <sz val="16"/>
    </font>
    <font>
      <name val="Calibri"/>
      <b val="1"/>
      <color rgb="00EF4444"/>
      <sz val="16"/>
    </font>
    <font>
      <name val="Calibri"/>
      <b val="1"/>
      <color rgb="008B8A9B"/>
      <sz val="16"/>
    </font>
    <font>
      <name val="Calibri"/>
      <b val="1"/>
      <color rgb="007C3AED"/>
      <sz val="16"/>
    </font>
    <font>
      <name val="Calibri"/>
      <b val="1"/>
      <color rgb="0006B6D4"/>
      <sz val="10"/>
    </font>
    <font>
      <name val="Calibri"/>
      <b val="1"/>
      <color rgb="00F1F0F5"/>
      <sz val="9"/>
    </font>
    <font>
      <name val="Calibri"/>
      <color rgb="00F1F0F5"/>
      <sz val="9"/>
    </font>
    <font>
      <name val="Calibri"/>
      <color rgb="00F59E0B"/>
      <sz val="9"/>
    </font>
    <font>
      <name val="Calibri"/>
      <color rgb="0010B981"/>
      <sz val="9"/>
    </font>
    <font>
      <name val="Calibri"/>
      <i val="1"/>
      <color rgb="008B8A9B"/>
      <sz val="9"/>
    </font>
    <font>
      <name val="Calibri"/>
      <b val="1"/>
      <color rgb="00A78BFA"/>
      <sz val="13"/>
    </font>
    <font>
      <name val="Calibri"/>
      <color rgb="00F1F0F5"/>
      <sz val="10"/>
    </font>
    <font>
      <name val="Calibri"/>
      <color rgb="008B8A9B"/>
      <sz val="10"/>
    </font>
    <font>
      <name val="Calibri"/>
      <b val="1"/>
      <color rgb="0010B981"/>
      <sz val="10"/>
    </font>
    <font>
      <name val="Calibri"/>
      <b val="1"/>
      <color rgb="00EF4444"/>
      <sz val="10"/>
    </font>
    <font>
      <name val="Calibri"/>
      <b val="1"/>
      <color rgb="00F59E0B"/>
      <sz val="10"/>
    </font>
    <font>
      <name val="Calibri"/>
      <color rgb="00EF4444"/>
      <sz val="10"/>
    </font>
    <font>
      <name val="Calibri"/>
      <b val="1"/>
      <color rgb="00A78BFA"/>
      <sz val="14"/>
    </font>
    <font>
      <name val="Calibri"/>
      <b val="1"/>
      <color rgb="00F1F0F5"/>
      <sz val="10"/>
    </font>
    <font>
      <name val="Calibri"/>
      <b val="1"/>
      <color rgb="00F1F0F5"/>
      <sz val="11"/>
    </font>
    <font>
      <name val="Calibri"/>
      <b val="1"/>
      <color rgb="0010B981"/>
      <sz val="11"/>
    </font>
    <font>
      <name val="Calibri"/>
      <b val="1"/>
      <color rgb="00F59E0B"/>
      <sz val="11"/>
    </font>
    <font>
      <name val="Calibri"/>
      <b val="1"/>
      <color rgb="00EF4444"/>
      <sz val="11"/>
    </font>
    <font>
      <name val="Calibri"/>
      <color rgb="0010B981"/>
      <sz val="10"/>
    </font>
  </fonts>
  <fills count="6">
    <fill>
      <patternFill/>
    </fill>
    <fill>
      <patternFill patternType="gray125"/>
    </fill>
    <fill>
      <patternFill patternType="solid">
        <fgColor rgb="0013131A"/>
      </patternFill>
    </fill>
    <fill>
      <patternFill patternType="solid">
        <fgColor rgb="000D0D1A"/>
      </patternFill>
    </fill>
    <fill>
      <patternFill patternType="solid">
        <fgColor rgb="007C3AED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165" fontId="17" fillId="5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/>
    </xf>
    <xf numFmtId="165" fontId="17" fillId="2" borderId="1" applyAlignment="1" pivotButton="0" quotePrefix="0" xfId="0">
      <alignment horizontal="left" vertical="center"/>
    </xf>
    <xf numFmtId="164" fontId="16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164" fontId="21" fillId="5" borderId="1" applyAlignment="1" pivotButton="0" quotePrefix="0" xfId="0">
      <alignment horizontal="left" vertical="center"/>
    </xf>
    <xf numFmtId="0" fontId="17" fillId="2" borderId="1" applyAlignment="1" pivotButton="0" quotePrefix="0" xfId="0">
      <alignment horizontal="left" vertical="center"/>
    </xf>
    <xf numFmtId="164" fontId="21" fillId="2" borderId="1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164" fontId="25" fillId="2" borderId="1" applyAlignment="1" pivotButton="0" quotePrefix="0" xfId="0">
      <alignment horizontal="center" vertical="center"/>
    </xf>
    <xf numFmtId="164" fontId="26" fillId="2" borderId="1" applyAlignment="1" pivotButton="0" quotePrefix="0" xfId="0">
      <alignment horizontal="center" vertical="center"/>
    </xf>
    <xf numFmtId="164" fontId="27" fillId="2" borderId="1" applyAlignment="1" pivotButton="0" quotePrefix="0" xfId="0">
      <alignment horizontal="center" vertical="center"/>
    </xf>
    <xf numFmtId="9" fontId="26" fillId="2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164" fontId="28" fillId="5" borderId="1" applyAlignment="1" pivotButton="0" quotePrefix="0" xfId="0">
      <alignment horizontal="left" vertical="center"/>
    </xf>
    <xf numFmtId="164" fontId="28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1" ht="10" customHeight="1"/>
    <row r="2" ht="40" customHeight="1">
      <c r="B2" s="1" t="inlineStr">
        <is>
          <t>💼  FREELANCER INVOICE &amp; TAX TRACKER  ·  BuildWithGimi</t>
        </is>
      </c>
    </row>
    <row r="3" ht="20" customHeight="1"/>
    <row r="4" ht="18" customHeight="1">
      <c r="B4" s="2" t="inlineStr">
        <is>
          <t>TOTAL INVOICED</t>
        </is>
      </c>
      <c r="C4" s="2" t="inlineStr">
        <is>
          <t>TOTAL PAID</t>
        </is>
      </c>
      <c r="D4" s="2" t="inlineStr">
        <is>
          <t>OUTSTANDING</t>
        </is>
      </c>
      <c r="E4" s="2" t="inlineStr">
        <is>
          <t>OVERDUE</t>
        </is>
      </c>
      <c r="F4" s="2" t="inlineStr">
        <is>
          <t>EXPENSES</t>
        </is>
      </c>
      <c r="G4" s="2" t="inlineStr">
        <is>
          <t>NET PROFIT</t>
        </is>
      </c>
    </row>
    <row r="5" ht="32" customHeight="1">
      <c r="B5" s="3">
        <f>SUMIF('🧾 Invoices'!H:H,"*", '🧾 Invoices'!G:G)</f>
        <v/>
      </c>
      <c r="C5" s="4">
        <f>SUMIF('🧾 Invoices'!H:H,"Paid",'🧾 Invoices'!G:G)</f>
        <v/>
      </c>
      <c r="D5" s="5">
        <f>SUMIF('🧾 Invoices'!H:H,"Sent",'🧾 Invoices'!G:G)</f>
        <v/>
      </c>
      <c r="E5" s="6">
        <f>SUMIF('🧾 Invoices'!H:H,"Overdue",'🧾 Invoices'!G:G)</f>
        <v/>
      </c>
      <c r="F5" s="7">
        <f>SUM('💸 Expenses'!D:D)</f>
        <v/>
      </c>
      <c r="G5" s="8">
        <f>C5-F5</f>
        <v/>
      </c>
    </row>
    <row r="7" ht="18" customHeight="1">
      <c r="B7" s="9" t="inlineStr">
        <is>
          <t>QUARTERLY BREAKDOWN</t>
        </is>
      </c>
    </row>
    <row r="8" ht="18" customHeight="1">
      <c r="B8" s="10" t="inlineStr">
        <is>
          <t>QUARTER</t>
        </is>
      </c>
      <c r="C8" s="10" t="inlineStr">
        <is>
          <t>INVOICED</t>
        </is>
      </c>
      <c r="D8" s="10" t="inlineStr">
        <is>
          <t>PAID</t>
        </is>
      </c>
      <c r="E8" s="10" t="inlineStr">
        <is>
          <t>EXPENSES</t>
        </is>
      </c>
      <c r="F8" s="10" t="inlineStr">
        <is>
          <t>TAX EST (25%)</t>
        </is>
      </c>
      <c r="G8" s="10" t="inlineStr">
        <is>
          <t>NET</t>
        </is>
      </c>
    </row>
    <row r="9" ht="16" customHeight="1">
      <c r="B9" s="11" t="inlineStr">
        <is>
          <t>Q1 (Jan–Mar)</t>
        </is>
      </c>
      <c r="C9" s="12" t="n">
        <v>0</v>
      </c>
      <c r="D9" s="12" t="n">
        <v>0</v>
      </c>
      <c r="E9" s="12" t="n">
        <v>0</v>
      </c>
      <c r="F9" s="13">
        <f>D9*0.25</f>
        <v/>
      </c>
      <c r="G9" s="14">
        <f>C9-D9-E9</f>
        <v/>
      </c>
    </row>
    <row r="10" ht="16" customHeight="1">
      <c r="B10" s="15" t="inlineStr">
        <is>
          <t>Q2 (Apr–Jun)</t>
        </is>
      </c>
      <c r="C10" s="16" t="n">
        <v>0</v>
      </c>
      <c r="D10" s="16" t="n">
        <v>0</v>
      </c>
      <c r="E10" s="16" t="n">
        <v>0</v>
      </c>
      <c r="F10" s="17">
        <f>D10*0.25</f>
        <v/>
      </c>
      <c r="G10" s="18">
        <f>C10-D10-E10</f>
        <v/>
      </c>
    </row>
    <row r="11" ht="16" customHeight="1">
      <c r="B11" s="11" t="inlineStr">
        <is>
          <t>Q3 (Jul–Sep)</t>
        </is>
      </c>
      <c r="C11" s="12" t="n">
        <v>0</v>
      </c>
      <c r="D11" s="12" t="n">
        <v>0</v>
      </c>
      <c r="E11" s="12" t="n">
        <v>0</v>
      </c>
      <c r="F11" s="13">
        <f>D11*0.25</f>
        <v/>
      </c>
      <c r="G11" s="14">
        <f>C11-D11-E11</f>
        <v/>
      </c>
    </row>
    <row r="12" ht="16" customHeight="1">
      <c r="B12" s="15" t="inlineStr">
        <is>
          <t>Q4 (Oct–Dec)</t>
        </is>
      </c>
      <c r="C12" s="16" t="n">
        <v>0</v>
      </c>
      <c r="D12" s="16" t="n">
        <v>0</v>
      </c>
      <c r="E12" s="16" t="n">
        <v>0</v>
      </c>
      <c r="F12" s="17">
        <f>D12*0.25</f>
        <v/>
      </c>
      <c r="G12" s="18">
        <f>C12-D12-E12</f>
        <v/>
      </c>
    </row>
    <row r="14" ht="24" customHeight="1">
      <c r="B14" s="19" t="inlineStr">
        <is>
          <t>💡  HOW TO USE: Add invoices in '🧾 Invoices' · Add expenses in '💸 Expenses' · This dashboard updates automatically</t>
        </is>
      </c>
    </row>
  </sheetData>
  <mergeCells count="3">
    <mergeCell ref="B2:G2"/>
    <mergeCell ref="B14:G14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4" customWidth="1" min="5" max="5"/>
    <col width="10" customWidth="1" min="6" max="6"/>
    <col width="14" customWidth="1" min="7" max="7"/>
    <col width="12" customWidth="1" min="8" max="8"/>
    <col width="14" customWidth="1" min="9" max="9"/>
    <col width="28" customWidth="1" min="10" max="10"/>
  </cols>
  <sheetData>
    <row r="1" ht="30" customHeight="1">
      <c r="A1" s="20" t="inlineStr">
        <is>
          <t>🧾  INVOICES  —  BuildWithGimi Freelancer Tracker</t>
        </is>
      </c>
    </row>
    <row r="2" ht="18" customHeight="1">
      <c r="A2" s="10" t="inlineStr">
        <is>
          <t>INV #</t>
        </is>
      </c>
      <c r="B2" s="10" t="inlineStr">
        <is>
          <t>CLIENT</t>
        </is>
      </c>
      <c r="C2" s="10" t="inlineStr">
        <is>
          <t>PROJECT</t>
        </is>
      </c>
      <c r="D2" s="10" t="inlineStr">
        <is>
          <t>DATE ISSUED</t>
        </is>
      </c>
      <c r="E2" s="10" t="inlineStr">
        <is>
          <t>DUE DATE</t>
        </is>
      </c>
      <c r="F2" s="10" t="inlineStr">
        <is>
          <t>CURRENCY</t>
        </is>
      </c>
      <c r="G2" s="10" t="inlineStr">
        <is>
          <t>AMOUNT</t>
        </is>
      </c>
      <c r="H2" s="10" t="inlineStr">
        <is>
          <t>STATUS</t>
        </is>
      </c>
      <c r="I2" s="10" t="inlineStr">
        <is>
          <t>PAID DATE</t>
        </is>
      </c>
      <c r="J2" s="10" t="inlineStr">
        <is>
          <t>NOTES</t>
        </is>
      </c>
    </row>
    <row r="3" ht="16" customHeight="1">
      <c r="A3" s="21" t="inlineStr">
        <is>
          <t>INV-001</t>
        </is>
      </c>
      <c r="B3" s="21" t="inlineStr">
        <is>
          <t>Acme Corp</t>
        </is>
      </c>
      <c r="C3" s="21" t="inlineStr">
        <is>
          <t>Website Redesign</t>
        </is>
      </c>
      <c r="D3" s="22" t="inlineStr">
        <is>
          <t>2026-01-10</t>
        </is>
      </c>
      <c r="E3" s="22" t="inlineStr">
        <is>
          <t>2026-01-25</t>
        </is>
      </c>
      <c r="F3" s="21" t="inlineStr">
        <is>
          <t>USD</t>
        </is>
      </c>
      <c r="G3" s="23" t="n">
        <v>2500</v>
      </c>
      <c r="H3" s="24" t="inlineStr">
        <is>
          <t>Paid</t>
        </is>
      </c>
      <c r="I3" s="22" t="inlineStr">
        <is>
          <t>2026-01-22</t>
        </is>
      </c>
      <c r="J3" s="21" t="inlineStr"/>
    </row>
    <row r="4" ht="16" customHeight="1">
      <c r="A4" s="25" t="inlineStr">
        <is>
          <t>INV-002</t>
        </is>
      </c>
      <c r="B4" s="25" t="inlineStr">
        <is>
          <t>Bright Media</t>
        </is>
      </c>
      <c r="C4" s="25" t="inlineStr">
        <is>
          <t>SEO Audit</t>
        </is>
      </c>
      <c r="D4" s="26" t="inlineStr">
        <is>
          <t>2026-02-01</t>
        </is>
      </c>
      <c r="E4" s="26" t="inlineStr">
        <is>
          <t>2026-02-15</t>
        </is>
      </c>
      <c r="F4" s="25" t="inlineStr">
        <is>
          <t>USD</t>
        </is>
      </c>
      <c r="G4" s="27" t="n">
        <v>800</v>
      </c>
      <c r="H4" s="28" t="inlineStr">
        <is>
          <t>Paid</t>
        </is>
      </c>
      <c r="I4" s="26" t="inlineStr">
        <is>
          <t>2026-02-14</t>
        </is>
      </c>
      <c r="J4" s="25" t="inlineStr"/>
    </row>
    <row r="5" ht="16" customHeight="1">
      <c r="A5" s="21" t="inlineStr">
        <is>
          <t>INV-003</t>
        </is>
      </c>
      <c r="B5" s="21" t="inlineStr">
        <is>
          <t>TechFlow Inc</t>
        </is>
      </c>
      <c r="C5" s="21" t="inlineStr">
        <is>
          <t>API Integration</t>
        </is>
      </c>
      <c r="D5" s="22" t="inlineStr">
        <is>
          <t>2026-02-20</t>
        </is>
      </c>
      <c r="E5" s="22" t="inlineStr">
        <is>
          <t>2026-03-06</t>
        </is>
      </c>
      <c r="F5" s="21" t="inlineStr">
        <is>
          <t>USD</t>
        </is>
      </c>
      <c r="G5" s="23" t="n">
        <v>1500</v>
      </c>
      <c r="H5" s="29" t="inlineStr">
        <is>
          <t>Overdue</t>
        </is>
      </c>
      <c r="I5" s="21" t="inlineStr"/>
      <c r="J5" s="21" t="inlineStr">
        <is>
          <t>Client delayed</t>
        </is>
      </c>
    </row>
    <row r="6" ht="16" customHeight="1">
      <c r="A6" s="25" t="inlineStr">
        <is>
          <t>INV-004</t>
        </is>
      </c>
      <c r="B6" s="25" t="inlineStr">
        <is>
          <t>Nova StartUp</t>
        </is>
      </c>
      <c r="C6" s="25" t="inlineStr">
        <is>
          <t>Pitch Deck</t>
        </is>
      </c>
      <c r="D6" s="26" t="inlineStr">
        <is>
          <t>2026-03-01</t>
        </is>
      </c>
      <c r="E6" s="26" t="inlineStr">
        <is>
          <t>2026-03-15</t>
        </is>
      </c>
      <c r="F6" s="25" t="inlineStr">
        <is>
          <t>USD</t>
        </is>
      </c>
      <c r="G6" s="27" t="n">
        <v>650</v>
      </c>
      <c r="H6" s="30" t="inlineStr">
        <is>
          <t>Sent</t>
        </is>
      </c>
      <c r="I6" s="25" t="inlineStr"/>
      <c r="J6" s="25" t="inlineStr"/>
    </row>
    <row r="7" ht="16" customHeight="1">
      <c r="A7" s="21" t="inlineStr">
        <is>
          <t>INV-005</t>
        </is>
      </c>
      <c r="B7" s="21" t="inlineStr">
        <is>
          <t>Bright Media</t>
        </is>
      </c>
      <c r="C7" s="21" t="inlineStr">
        <is>
          <t>Monthly Retainer Mar</t>
        </is>
      </c>
      <c r="D7" s="22" t="inlineStr">
        <is>
          <t>2026-03-01</t>
        </is>
      </c>
      <c r="E7" s="22" t="inlineStr">
        <is>
          <t>2026-03-15</t>
        </is>
      </c>
      <c r="F7" s="21" t="inlineStr">
        <is>
          <t>USD</t>
        </is>
      </c>
      <c r="G7" s="23" t="n">
        <v>1200</v>
      </c>
      <c r="H7" s="31" t="inlineStr">
        <is>
          <t>Sent</t>
        </is>
      </c>
      <c r="I7" s="21" t="inlineStr"/>
      <c r="J7" s="21" t="inlineStr"/>
    </row>
  </sheetData>
  <mergeCells count="1">
    <mergeCell ref="A1:J1"/>
  </mergeCells>
  <dataValidations count="1">
    <dataValidation sqref="H3:H1000" showDropDown="0" showInputMessage="0" showErrorMessage="0" allowBlank="1" type="list">
      <formula1>"Sent,Paid,Overdue,Draft,Cancelled"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4" customWidth="1" min="4" max="4"/>
    <col width="13" customWidth="1" min="5" max="5"/>
    <col width="22" customWidth="1" min="6" max="6"/>
    <col width="26" customWidth="1" min="7" max="7"/>
  </cols>
  <sheetData>
    <row r="1" ht="30" customHeight="1">
      <c r="A1" s="20" t="inlineStr">
        <is>
          <t>💸  EXPENSES  —  BuildWithGimi Freelancer Tracker</t>
        </is>
      </c>
    </row>
    <row r="2" ht="18" customHeight="1">
      <c r="A2" s="10" t="inlineStr">
        <is>
          <t>DATE</t>
        </is>
      </c>
      <c r="B2" s="10" t="inlineStr">
        <is>
          <t>CATEGORY</t>
        </is>
      </c>
      <c r="C2" s="10" t="inlineStr">
        <is>
          <t>DESCRIPTION</t>
        </is>
      </c>
      <c r="D2" s="10" t="inlineStr">
        <is>
          <t>AMOUNT</t>
        </is>
      </c>
      <c r="E2" s="10" t="inlineStr">
        <is>
          <t>DEDUCTIBLE?</t>
        </is>
      </c>
      <c r="F2" s="10" t="inlineStr">
        <is>
          <t>RECEIPT</t>
        </is>
      </c>
      <c r="G2" s="10" t="inlineStr">
        <is>
          <t>NOTES</t>
        </is>
      </c>
    </row>
    <row r="3" ht="16" customHeight="1">
      <c r="A3" s="32" t="inlineStr">
        <is>
          <t>2026-01-05</t>
        </is>
      </c>
      <c r="B3" s="21" t="inlineStr">
        <is>
          <t>Software</t>
        </is>
      </c>
      <c r="C3" s="21" t="inlineStr">
        <is>
          <t>Figma subscription</t>
        </is>
      </c>
      <c r="D3" s="33" t="n">
        <v>15</v>
      </c>
      <c r="E3" s="24" t="inlineStr">
        <is>
          <t>Yes</t>
        </is>
      </c>
      <c r="F3" s="21" t="inlineStr"/>
      <c r="G3" s="21" t="inlineStr">
        <is>
          <t>Annual plan</t>
        </is>
      </c>
    </row>
    <row r="4" ht="16" customHeight="1">
      <c r="A4" s="34" t="inlineStr">
        <is>
          <t>2026-01-12</t>
        </is>
      </c>
      <c r="B4" s="25" t="inlineStr">
        <is>
          <t>Software</t>
        </is>
      </c>
      <c r="C4" s="25" t="inlineStr">
        <is>
          <t>Adobe CC monthly</t>
        </is>
      </c>
      <c r="D4" s="35" t="n">
        <v>60</v>
      </c>
      <c r="E4" s="28" t="inlineStr">
        <is>
          <t>Yes</t>
        </is>
      </c>
      <c r="F4" s="25" t="inlineStr"/>
      <c r="G4" s="25" t="inlineStr"/>
    </row>
    <row r="5" ht="16" customHeight="1">
      <c r="A5" s="32" t="inlineStr">
        <is>
          <t>2026-02-03</t>
        </is>
      </c>
      <c r="B5" s="21" t="inlineStr">
        <is>
          <t>Marketing</t>
        </is>
      </c>
      <c r="C5" s="21" t="inlineStr">
        <is>
          <t>LinkedIn Premium</t>
        </is>
      </c>
      <c r="D5" s="33" t="n">
        <v>30</v>
      </c>
      <c r="E5" s="24" t="inlineStr">
        <is>
          <t>Yes</t>
        </is>
      </c>
      <c r="F5" s="21" t="inlineStr"/>
      <c r="G5" s="21" t="inlineStr">
        <is>
          <t>Lead gen</t>
        </is>
      </c>
    </row>
    <row r="6" ht="16" customHeight="1">
      <c r="A6" s="34" t="inlineStr">
        <is>
          <t>2026-02-15</t>
        </is>
      </c>
      <c r="B6" s="25" t="inlineStr">
        <is>
          <t>Hardware</t>
        </is>
      </c>
      <c r="C6" s="25" t="inlineStr">
        <is>
          <t>USB-C Hub</t>
        </is>
      </c>
      <c r="D6" s="35" t="n">
        <v>45</v>
      </c>
      <c r="E6" s="28" t="inlineStr">
        <is>
          <t>Yes</t>
        </is>
      </c>
      <c r="F6" s="25" t="inlineStr"/>
      <c r="G6" s="25" t="inlineStr"/>
    </row>
    <row r="7" ht="16" customHeight="1">
      <c r="A7" s="32" t="inlineStr">
        <is>
          <t>2026-03-01</t>
        </is>
      </c>
      <c r="B7" s="21" t="inlineStr">
        <is>
          <t>Education</t>
        </is>
      </c>
      <c r="C7" s="21" t="inlineStr">
        <is>
          <t>Online course - Notion</t>
        </is>
      </c>
      <c r="D7" s="33" t="n">
        <v>97</v>
      </c>
      <c r="E7" s="24" t="inlineStr">
        <is>
          <t>Yes</t>
        </is>
      </c>
      <c r="F7" s="21" t="inlineStr"/>
      <c r="G7" s="21" t="inlineStr">
        <is>
          <t>Productivity</t>
        </is>
      </c>
    </row>
    <row r="8" ht="16" customHeight="1">
      <c r="A8" s="34" t="inlineStr">
        <is>
          <t>2026-03-10</t>
        </is>
      </c>
      <c r="B8" s="25" t="inlineStr">
        <is>
          <t>Software</t>
        </is>
      </c>
      <c r="C8" s="25" t="inlineStr">
        <is>
          <t>Vercel Pro (if upgraded)</t>
        </is>
      </c>
      <c r="D8" s="35" t="n">
        <v>20</v>
      </c>
      <c r="E8" s="28" t="inlineStr">
        <is>
          <t>Yes</t>
        </is>
      </c>
      <c r="F8" s="25" t="inlineStr"/>
      <c r="G8" s="25" t="inlineStr">
        <is>
          <t>Hosting</t>
        </is>
      </c>
    </row>
  </sheetData>
  <mergeCells count="1">
    <mergeCell ref="A1:G1"/>
  </mergeCells>
  <dataValidations count="2">
    <dataValidation sqref="B3:B1000" showDropDown="0" showInputMessage="0" showErrorMessage="0" allowBlank="1" type="list">
      <formula1>"Software,Hardware,Marketing,Travel,Office,Education,Contractor,Taxes,Other"</formula1>
    </dataValidation>
    <dataValidation sqref="E3:E100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4" customWidth="1" min="4" max="4"/>
  </cols>
  <sheetData>
    <row r="1" ht="34" customHeight="1">
      <c r="B1" s="36" t="inlineStr">
        <is>
          <t>🧮  TAX ESTIMATOR</t>
        </is>
      </c>
    </row>
    <row r="3" ht="20" customHeight="1">
      <c r="B3" s="37" t="inlineStr">
        <is>
          <t>INCOME</t>
        </is>
      </c>
    </row>
    <row r="4" ht="18" customHeight="1">
      <c r="B4" s="34" t="inlineStr">
        <is>
          <t>Total Invoiced</t>
        </is>
      </c>
      <c r="C4" s="38">
        <f>'🧾 Invoices'!G2</f>
        <v/>
      </c>
    </row>
    <row r="5" ht="18" customHeight="1">
      <c r="B5" s="34" t="inlineStr">
        <is>
          <t>Total Paid</t>
        </is>
      </c>
      <c r="C5" s="39">
        <f>SUMIF('🧾 Invoices'!H:H,"Paid",'🧾 Invoices'!G:G)</f>
        <v/>
      </c>
    </row>
    <row r="6" ht="18" customHeight="1">
      <c r="B6" s="34" t="inlineStr">
        <is>
          <t>Outstanding</t>
        </is>
      </c>
      <c r="C6" s="40">
        <f>SUMIF('🧾 Invoices'!H:H,"Sent",'🧾 Invoices'!G:G)</f>
        <v/>
      </c>
    </row>
    <row r="8" ht="20" customHeight="1">
      <c r="B8" s="37" t="inlineStr">
        <is>
          <t>DEDUCTIONS</t>
        </is>
      </c>
    </row>
    <row r="9" ht="18" customHeight="1">
      <c r="B9" s="34" t="inlineStr">
        <is>
          <t>Total Deductible Exp.</t>
        </is>
      </c>
      <c r="C9" s="41">
        <f>SUMIF('💸 Expenses'!E:E,"Yes",'💸 Expenses'!D:D)</f>
        <v/>
      </c>
    </row>
    <row r="10" ht="18" customHeight="1">
      <c r="B10" s="34" t="inlineStr">
        <is>
          <t>Partial Deductions (50%)</t>
        </is>
      </c>
      <c r="C10" s="40">
        <f>SUMIF('💸 Expenses'!E:E,"Partial",'💸 Expenses'!D:D)*0.5</f>
        <v/>
      </c>
    </row>
    <row r="11" ht="18" customHeight="1">
      <c r="B11" s="34" t="inlineStr">
        <is>
          <t>Total Deductions</t>
        </is>
      </c>
      <c r="C11" s="41">
        <f>C9+C10</f>
        <v/>
      </c>
    </row>
    <row r="13" ht="20" customHeight="1">
      <c r="B13" s="37" t="inlineStr">
        <is>
          <t>TAX CALCULATION</t>
        </is>
      </c>
    </row>
    <row r="14" ht="18" customHeight="1">
      <c r="B14" s="34" t="inlineStr">
        <is>
          <t>Taxable Income</t>
        </is>
      </c>
      <c r="C14" s="38">
        <f>C5-C11</f>
        <v/>
      </c>
    </row>
    <row r="15" ht="18" customHeight="1">
      <c r="B15" s="34" t="inlineStr">
        <is>
          <t>Tax Rate (%)</t>
        </is>
      </c>
      <c r="C15" s="42" t="n">
        <v>0.25</v>
      </c>
    </row>
    <row r="16" ht="18" customHeight="1">
      <c r="B16" s="34" t="inlineStr">
        <is>
          <t>Estimated Tax</t>
        </is>
      </c>
      <c r="C16" s="41">
        <f>C14*C15</f>
        <v/>
      </c>
    </row>
    <row r="17" ht="18" customHeight="1">
      <c r="B17" s="34" t="inlineStr">
        <is>
          <t>Net After Tax</t>
        </is>
      </c>
      <c r="C17" s="39">
        <f>C14-C16</f>
        <v/>
      </c>
    </row>
    <row r="19" ht="22" customHeight="1">
      <c r="B19" s="43" t="inlineStr">
        <is>
          <t>⚠️  This is an estimate only. Consult a local tax advisor for exact obligations.</t>
        </is>
      </c>
    </row>
  </sheetData>
  <mergeCells count="5">
    <mergeCell ref="B13:C13"/>
    <mergeCell ref="B3:C3"/>
    <mergeCell ref="B19:C19"/>
    <mergeCell ref="B1:C1"/>
    <mergeCell ref="B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6" customWidth="1" min="4" max="4"/>
    <col width="10" customWidth="1" min="5" max="5"/>
    <col width="14" customWidth="1" min="6" max="6"/>
    <col width="12" customWidth="1" min="7" max="7"/>
    <col width="28" customWidth="1" min="8" max="8"/>
  </cols>
  <sheetData>
    <row r="1" ht="30" customHeight="1">
      <c r="A1" s="20" t="inlineStr">
        <is>
          <t>👥  CLIENTS  —  BuildWithGimi Freelancer Tracker</t>
        </is>
      </c>
    </row>
    <row r="2" ht="18" customHeight="1">
      <c r="A2" s="10" t="inlineStr">
        <is>
          <t>CLIENT NAME</t>
        </is>
      </c>
      <c r="B2" s="10" t="inlineStr">
        <is>
          <t>CONTACT</t>
        </is>
      </c>
      <c r="C2" s="10" t="inlineStr">
        <is>
          <t>EMAIL</t>
        </is>
      </c>
      <c r="D2" s="10" t="inlineStr">
        <is>
          <t>PHONE</t>
        </is>
      </c>
      <c r="E2" s="10" t="inlineStr">
        <is>
          <t>CURRENCY</t>
        </is>
      </c>
      <c r="F2" s="10" t="inlineStr">
        <is>
          <t>TOTAL BILLED</t>
        </is>
      </c>
      <c r="G2" s="10" t="inlineStr">
        <is>
          <t>STATUS</t>
        </is>
      </c>
      <c r="H2" s="10" t="inlineStr">
        <is>
          <t>NOTES</t>
        </is>
      </c>
    </row>
    <row r="3" ht="16" customHeight="1">
      <c r="A3" s="21" t="inlineStr">
        <is>
          <t>Acme Corp</t>
        </is>
      </c>
      <c r="B3" s="21" t="inlineStr">
        <is>
          <t>John Doe</t>
        </is>
      </c>
      <c r="C3" s="21" t="inlineStr">
        <is>
          <t>john@acme.com</t>
        </is>
      </c>
      <c r="D3" s="21" t="inlineStr">
        <is>
          <t>+1-555-0100</t>
        </is>
      </c>
      <c r="E3" s="21" t="inlineStr">
        <is>
          <t>USD</t>
        </is>
      </c>
      <c r="F3" s="44" t="n">
        <v>2500</v>
      </c>
      <c r="G3" s="24" t="inlineStr">
        <is>
          <t>Active</t>
        </is>
      </c>
      <c r="H3" s="21" t="inlineStr">
        <is>
          <t>Top client</t>
        </is>
      </c>
    </row>
    <row r="4" ht="16" customHeight="1">
      <c r="A4" s="25" t="inlineStr">
        <is>
          <t>Bright Media</t>
        </is>
      </c>
      <c r="B4" s="25" t="inlineStr">
        <is>
          <t>Sara Lee</t>
        </is>
      </c>
      <c r="C4" s="25" t="inlineStr">
        <is>
          <t>sara@bright.co</t>
        </is>
      </c>
      <c r="D4" s="25" t="inlineStr">
        <is>
          <t>+1-555-0200</t>
        </is>
      </c>
      <c r="E4" s="25" t="inlineStr">
        <is>
          <t>USD</t>
        </is>
      </c>
      <c r="F4" s="45" t="n">
        <v>2000</v>
      </c>
      <c r="G4" s="28" t="inlineStr">
        <is>
          <t>Active</t>
        </is>
      </c>
      <c r="H4" s="25" t="inlineStr">
        <is>
          <t>Monthly retainer</t>
        </is>
      </c>
    </row>
    <row r="5" ht="16" customHeight="1">
      <c r="A5" s="21" t="inlineStr">
        <is>
          <t>TechFlow Inc</t>
        </is>
      </c>
      <c r="B5" s="21" t="inlineStr">
        <is>
          <t>Mike Stern</t>
        </is>
      </c>
      <c r="C5" s="21" t="inlineStr">
        <is>
          <t>mike@techflow.io</t>
        </is>
      </c>
      <c r="D5" s="21" t="inlineStr">
        <is>
          <t>+1-555-0300</t>
        </is>
      </c>
      <c r="E5" s="21" t="inlineStr">
        <is>
          <t>USD</t>
        </is>
      </c>
      <c r="F5" s="44" t="n">
        <v>1500</v>
      </c>
      <c r="G5" s="29" t="inlineStr">
        <is>
          <t>Overdue</t>
        </is>
      </c>
      <c r="H5" s="21" t="inlineStr">
        <is>
          <t>Net 30 terms</t>
        </is>
      </c>
    </row>
    <row r="6" ht="16" customHeight="1">
      <c r="A6" s="25" t="inlineStr">
        <is>
          <t>Nova StartUp</t>
        </is>
      </c>
      <c r="B6" s="25" t="inlineStr">
        <is>
          <t>Ana Popa</t>
        </is>
      </c>
      <c r="C6" s="25" t="inlineStr">
        <is>
          <t>ana@nova.ro</t>
        </is>
      </c>
      <c r="D6" s="25" t="inlineStr">
        <is>
          <t>+40-720-000</t>
        </is>
      </c>
      <c r="E6" s="25" t="inlineStr">
        <is>
          <t>USD</t>
        </is>
      </c>
      <c r="F6" s="45" t="n">
        <v>650</v>
      </c>
      <c r="G6" s="28" t="inlineStr">
        <is>
          <t>Active</t>
        </is>
      </c>
      <c r="H6" s="25" t="inlineStr">
        <is>
          <t>RO client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2026-03-28T01:31:37Z</dcterms:created>
  <dcterms:modified xsi:type="dcterms:W3CDTF">2026-03-28T01:31:37Z</dcterms:modified>
</cp:coreProperties>
</file>